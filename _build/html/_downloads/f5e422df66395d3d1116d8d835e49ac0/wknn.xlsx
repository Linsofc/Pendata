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aiful Rijal" sheetId="1" r:id="rId1"/>
    <sheet name="Normalisasi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3" l="1"/>
  <c r="K5" i="3"/>
  <c r="K6" i="3"/>
  <c r="K7" i="3"/>
  <c r="K8" i="3"/>
  <c r="K3" i="3"/>
  <c r="J4" i="3"/>
  <c r="J5" i="3"/>
  <c r="J6" i="3"/>
  <c r="J7" i="3"/>
  <c r="J8" i="3"/>
  <c r="J3" i="3"/>
  <c r="I4" i="3"/>
  <c r="I5" i="3"/>
  <c r="I6" i="3"/>
  <c r="I7" i="3"/>
  <c r="I8" i="3"/>
  <c r="H3" i="3"/>
  <c r="I3" i="3"/>
  <c r="H4" i="3"/>
  <c r="H5" i="3"/>
  <c r="H6" i="3"/>
  <c r="H7" i="3"/>
  <c r="H8" i="3"/>
  <c r="D2" i="3"/>
  <c r="G4" i="3"/>
  <c r="G5" i="3"/>
  <c r="G6" i="3"/>
  <c r="G7" i="3"/>
  <c r="G8" i="3"/>
  <c r="G3" i="3"/>
  <c r="D17" i="3"/>
  <c r="D16" i="3"/>
  <c r="D15" i="3"/>
  <c r="D14" i="3"/>
  <c r="F3" i="3"/>
  <c r="F4" i="3"/>
  <c r="F5" i="3"/>
  <c r="F6" i="3"/>
  <c r="F7" i="3"/>
  <c r="F8" i="3"/>
  <c r="C2" i="3"/>
  <c r="K7" i="1"/>
  <c r="D11" i="3"/>
  <c r="E3" i="3" l="1"/>
  <c r="E4" i="3"/>
  <c r="E5" i="3"/>
  <c r="E6" i="3"/>
  <c r="E7" i="3"/>
  <c r="E2" i="3"/>
  <c r="D3" i="3"/>
  <c r="D4" i="3"/>
  <c r="D5" i="3"/>
  <c r="D6" i="3"/>
  <c r="D7" i="3"/>
  <c r="D10" i="3"/>
  <c r="C3" i="3"/>
  <c r="C4" i="3"/>
  <c r="C5" i="3"/>
  <c r="C6" i="3"/>
  <c r="C7" i="3"/>
  <c r="D9" i="3"/>
  <c r="D8" i="3"/>
  <c r="F9" i="1"/>
  <c r="F8" i="1"/>
  <c r="G8" i="1"/>
  <c r="G3" i="1"/>
  <c r="G4" i="1"/>
  <c r="G5" i="1"/>
  <c r="G6" i="1"/>
  <c r="G7" i="1"/>
  <c r="G2" i="1"/>
  <c r="F3" i="1"/>
  <c r="F4" i="1"/>
  <c r="F5" i="1"/>
  <c r="F6" i="1"/>
  <c r="F7" i="1"/>
  <c r="F2" i="1"/>
  <c r="E3" i="1"/>
  <c r="E4" i="1"/>
  <c r="E5" i="1"/>
  <c r="E6" i="1"/>
  <c r="E7" i="1"/>
  <c r="E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<sst xmlns="http://schemas.openxmlformats.org/spreadsheetml/2006/main" count="35" uniqueCount="23">
  <si>
    <t>ID</t>
  </si>
  <si>
    <t>Jam Belajar</t>
  </si>
  <si>
    <t>Nilai</t>
  </si>
  <si>
    <t>?</t>
  </si>
  <si>
    <t>Data yang hilang:</t>
  </si>
  <si>
    <r>
      <t xml:space="preserve">Jam belajar = </t>
    </r>
    <r>
      <rPr>
        <b/>
        <sz val="11"/>
        <color theme="1"/>
        <rFont val="Calibri"/>
        <family val="2"/>
        <scheme val="minor"/>
      </rPr>
      <t>7</t>
    </r>
  </si>
  <si>
    <r>
      <t xml:space="preserve">Nilai = </t>
    </r>
    <r>
      <rPr>
        <b/>
        <sz val="11"/>
        <color theme="1"/>
        <rFont val="Calibri"/>
        <family val="2"/>
        <scheme val="minor"/>
      </rPr>
      <t>?</t>
    </r>
  </si>
  <si>
    <t>Selisih</t>
  </si>
  <si>
    <t>Kuadrat</t>
  </si>
  <si>
    <t>Bobot</t>
  </si>
  <si>
    <t>MIN</t>
  </si>
  <si>
    <t>MAX</t>
  </si>
  <si>
    <t>AVG</t>
  </si>
  <si>
    <t>STDEV</t>
  </si>
  <si>
    <t>Z-Score</t>
  </si>
  <si>
    <t>Bobot x Nilai</t>
  </si>
  <si>
    <t>min-max</t>
  </si>
  <si>
    <t>Decimal</t>
  </si>
  <si>
    <t>jam</t>
  </si>
  <si>
    <t>nilai</t>
  </si>
  <si>
    <t>Z-score</t>
  </si>
  <si>
    <t>hasil nilai</t>
  </si>
  <si>
    <t>hasil jam belajar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</si>
</sst>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J6" sqref="J6"/>
    </sheetView>
  </sheetViews>
  <sheetFormatPr defaultRowHeight="15" x14ac:dyDescent="0.25"/>
  <cols>
    <col min="2" max="2" width="13.5703125" customWidth="1"/>
    <col min="7" max="7" width="13.5703125" customWidth="1"/>
  </cols>
  <sheetData>
    <row r="1" spans="1:11" ht="30" customHeight="1" x14ac:dyDescent="0.25">
      <c r="A1" s="2" t="s">
        <v>0</v>
      </c>
      <c r="B1" s="2" t="s">
        <v>1</v>
      </c>
      <c r="C1" s="2" t="s">
        <v>2</v>
      </c>
      <c r="D1" s="1" t="s">
        <v>7</v>
      </c>
      <c r="E1" s="1" t="s">
        <v>8</v>
      </c>
      <c r="F1" s="1" t="s">
        <v>9</v>
      </c>
      <c r="G1" s="4" t="s">
        <v>15</v>
      </c>
    </row>
    <row r="2" spans="1:11" x14ac:dyDescent="0.25">
      <c r="A2" s="3">
        <v>1</v>
      </c>
      <c r="B2" s="3">
        <v>2</v>
      </c>
      <c r="C2" s="3">
        <v>50</v>
      </c>
      <c r="D2">
        <f>B2-7</f>
        <v>-5</v>
      </c>
      <c r="E2">
        <f>D2^2</f>
        <v>25</v>
      </c>
      <c r="F2">
        <f>1/E2</f>
        <v>0.04</v>
      </c>
      <c r="G2">
        <f>F2*C2</f>
        <v>2</v>
      </c>
    </row>
    <row r="3" spans="1:11" x14ac:dyDescent="0.25">
      <c r="A3" s="3">
        <v>2</v>
      </c>
      <c r="B3" s="3">
        <v>4</v>
      </c>
      <c r="C3" s="3">
        <v>60</v>
      </c>
      <c r="D3">
        <f t="shared" ref="D3:D7" si="0">B3-7</f>
        <v>-3</v>
      </c>
      <c r="E3">
        <f t="shared" ref="E3:E7" si="1">D3^2</f>
        <v>9</v>
      </c>
      <c r="F3">
        <f t="shared" ref="F3:F7" si="2">1/E3</f>
        <v>0.1111111111111111</v>
      </c>
      <c r="G3">
        <f t="shared" ref="G3:G7" si="3">F3*C3</f>
        <v>6.6666666666666661</v>
      </c>
    </row>
    <row r="4" spans="1:11" x14ac:dyDescent="0.25">
      <c r="A4" s="3">
        <v>3</v>
      </c>
      <c r="B4" s="3">
        <v>6</v>
      </c>
      <c r="C4" s="3">
        <v>70</v>
      </c>
      <c r="D4">
        <f t="shared" si="0"/>
        <v>-1</v>
      </c>
      <c r="E4">
        <f t="shared" si="1"/>
        <v>1</v>
      </c>
      <c r="F4">
        <f t="shared" si="2"/>
        <v>1</v>
      </c>
      <c r="G4">
        <f t="shared" si="3"/>
        <v>70</v>
      </c>
    </row>
    <row r="5" spans="1:11" x14ac:dyDescent="0.25">
      <c r="A5" s="3">
        <v>4</v>
      </c>
      <c r="B5" s="3">
        <v>8</v>
      </c>
      <c r="C5" s="3">
        <v>80</v>
      </c>
      <c r="D5">
        <f t="shared" si="0"/>
        <v>1</v>
      </c>
      <c r="E5">
        <f t="shared" si="1"/>
        <v>1</v>
      </c>
      <c r="F5">
        <f t="shared" si="2"/>
        <v>1</v>
      </c>
      <c r="G5">
        <f t="shared" si="3"/>
        <v>80</v>
      </c>
    </row>
    <row r="6" spans="1:11" x14ac:dyDescent="0.25">
      <c r="A6" s="3">
        <v>5</v>
      </c>
      <c r="B6" s="3">
        <v>10</v>
      </c>
      <c r="C6" s="3">
        <v>90</v>
      </c>
      <c r="D6">
        <f t="shared" si="0"/>
        <v>3</v>
      </c>
      <c r="E6">
        <f t="shared" si="1"/>
        <v>9</v>
      </c>
      <c r="F6">
        <f t="shared" si="2"/>
        <v>0.1111111111111111</v>
      </c>
      <c r="G6">
        <f t="shared" si="3"/>
        <v>10</v>
      </c>
    </row>
    <row r="7" spans="1:11" x14ac:dyDescent="0.25">
      <c r="A7" s="3">
        <v>6</v>
      </c>
      <c r="B7" s="3">
        <v>12</v>
      </c>
      <c r="C7" s="3">
        <v>95</v>
      </c>
      <c r="D7">
        <f t="shared" si="0"/>
        <v>5</v>
      </c>
      <c r="E7">
        <f t="shared" si="1"/>
        <v>25</v>
      </c>
      <c r="F7">
        <f t="shared" si="2"/>
        <v>0.04</v>
      </c>
      <c r="G7">
        <f t="shared" si="3"/>
        <v>3.8000000000000003</v>
      </c>
      <c r="K7">
        <f>0.04*100</f>
        <v>4</v>
      </c>
    </row>
    <row r="8" spans="1:11" x14ac:dyDescent="0.25">
      <c r="A8" s="3">
        <v>7</v>
      </c>
      <c r="B8" s="3">
        <v>7</v>
      </c>
      <c r="C8" s="3" t="s">
        <v>3</v>
      </c>
      <c r="F8" s="5">
        <f>SUM(F2:F7)</f>
        <v>2.3022222222222224</v>
      </c>
      <c r="G8" s="6">
        <f>SUM(G2:G7)</f>
        <v>172.4666666666667</v>
      </c>
    </row>
    <row r="9" spans="1:11" x14ac:dyDescent="0.25">
      <c r="F9" s="10">
        <f>G8/F8</f>
        <v>74.913127413127427</v>
      </c>
      <c r="G9" s="10"/>
    </row>
    <row r="10" spans="1:11" x14ac:dyDescent="0.25">
      <c r="B10" s="8" t="s">
        <v>4</v>
      </c>
      <c r="C10" s="8"/>
    </row>
    <row r="11" spans="1:11" x14ac:dyDescent="0.25">
      <c r="B11" s="9" t="s">
        <v>5</v>
      </c>
      <c r="C11" s="9"/>
    </row>
    <row r="12" spans="1:11" x14ac:dyDescent="0.25">
      <c r="B12" s="9" t="s">
        <v>6</v>
      </c>
      <c r="C12" s="9"/>
    </row>
  </sheetData>
  <mergeCells count="4">
    <mergeCell ref="B10:C10"/>
    <mergeCell ref="B11:C11"/>
    <mergeCell ref="B12:C12"/>
    <mergeCell ref="F9:G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O12" sqref="O12"/>
    </sheetView>
  </sheetViews>
  <sheetFormatPr defaultRowHeight="15" x14ac:dyDescent="0.25"/>
  <cols>
    <col min="1" max="1" width="14.28515625" style="7" customWidth="1"/>
    <col min="2" max="2" width="9.140625" style="7"/>
    <col min="3" max="3" width="16.7109375" style="7" customWidth="1"/>
    <col min="4" max="16384" width="9.140625" style="7"/>
  </cols>
  <sheetData>
    <row r="1" spans="1:11" x14ac:dyDescent="0.25">
      <c r="A1" s="2" t="s">
        <v>1</v>
      </c>
      <c r="B1" s="2" t="s">
        <v>2</v>
      </c>
      <c r="C1" s="11" t="s">
        <v>16</v>
      </c>
      <c r="D1" s="7" t="s">
        <v>14</v>
      </c>
      <c r="E1" s="7" t="s">
        <v>17</v>
      </c>
      <c r="F1" s="12" t="s">
        <v>16</v>
      </c>
      <c r="G1" s="12"/>
      <c r="H1" s="15" t="s">
        <v>20</v>
      </c>
      <c r="I1" s="15"/>
      <c r="J1" s="17" t="s">
        <v>17</v>
      </c>
      <c r="K1" s="17"/>
    </row>
    <row r="2" spans="1:11" x14ac:dyDescent="0.25">
      <c r="A2" s="3">
        <v>2</v>
      </c>
      <c r="B2" s="3">
        <v>50</v>
      </c>
      <c r="C2" s="7">
        <f>(A2-$D$8)/($D$9-$D$8)</f>
        <v>0</v>
      </c>
      <c r="D2" s="7">
        <f>(A2-$D$10)/$D$11</f>
        <v>-1.4638501094227998</v>
      </c>
      <c r="E2" s="7">
        <f>A2/100</f>
        <v>0.02</v>
      </c>
      <c r="F2" s="14" t="s">
        <v>18</v>
      </c>
      <c r="G2" s="14" t="s">
        <v>19</v>
      </c>
      <c r="H2" s="16" t="s">
        <v>18</v>
      </c>
      <c r="I2" s="16" t="s">
        <v>19</v>
      </c>
      <c r="J2" s="18" t="s">
        <v>18</v>
      </c>
      <c r="K2" s="18" t="s">
        <v>19</v>
      </c>
    </row>
    <row r="3" spans="1:11" x14ac:dyDescent="0.25">
      <c r="A3" s="3">
        <v>4</v>
      </c>
      <c r="B3" s="3">
        <v>60</v>
      </c>
      <c r="C3" s="7">
        <f t="shared" ref="C3:C7" si="0">(A3-$D$8)/($D$9-$D$8)</f>
        <v>0.2</v>
      </c>
      <c r="D3" s="7">
        <f t="shared" ref="D3:D7" si="1">(A3-$D$10)/$D$11</f>
        <v>-0.87831006565367986</v>
      </c>
      <c r="E3" s="7">
        <f t="shared" ref="E3:E7" si="2">A3/100</f>
        <v>0.04</v>
      </c>
      <c r="F3" s="14">
        <f>(A2-$D$8)/($D$9-$D$8)</f>
        <v>0</v>
      </c>
      <c r="G3" s="14">
        <f>(B2-$D$14)/($D$15-$D$14)</f>
        <v>0</v>
      </c>
      <c r="H3" s="16">
        <f>(A2-$D$10)/$D$11</f>
        <v>-1.4638501094227998</v>
      </c>
      <c r="I3" s="16">
        <f>(B2-$D$16)/$D$17</f>
        <v>-1.5179293755116201</v>
      </c>
      <c r="J3" s="19">
        <f>A2/100</f>
        <v>0.02</v>
      </c>
      <c r="K3" s="18">
        <f>B2/100</f>
        <v>0.5</v>
      </c>
    </row>
    <row r="4" spans="1:11" x14ac:dyDescent="0.25">
      <c r="A4" s="3">
        <v>6</v>
      </c>
      <c r="B4" s="3">
        <v>70</v>
      </c>
      <c r="C4" s="7">
        <f t="shared" si="0"/>
        <v>0.4</v>
      </c>
      <c r="D4" s="7">
        <f t="shared" si="1"/>
        <v>-0.29277002188455997</v>
      </c>
      <c r="E4" s="7">
        <f t="shared" si="2"/>
        <v>0.06</v>
      </c>
      <c r="F4" s="14">
        <f t="shared" ref="F4:F8" si="3">(A3-$D$8)/($D$9-$D$8)</f>
        <v>0.2</v>
      </c>
      <c r="G4" s="14">
        <f t="shared" ref="G4:G8" si="4">(B3-$D$14)/($D$15-$D$14)</f>
        <v>0.22222222222222221</v>
      </c>
      <c r="H4" s="16">
        <f t="shared" ref="H4:H8" si="5">(A3-$D$10)/$D$11</f>
        <v>-0.87831006565367986</v>
      </c>
      <c r="I4" s="16">
        <f t="shared" ref="I4:I8" si="6">(B3-$D$16)/$D$17</f>
        <v>-0.8898206684033636</v>
      </c>
      <c r="J4" s="19">
        <f t="shared" ref="J4:J8" si="7">A3/100</f>
        <v>0.04</v>
      </c>
      <c r="K4" s="18">
        <f t="shared" ref="K4:K8" si="8">B3/100</f>
        <v>0.6</v>
      </c>
    </row>
    <row r="5" spans="1:11" x14ac:dyDescent="0.25">
      <c r="A5" s="3">
        <v>8</v>
      </c>
      <c r="B5" s="3">
        <v>80</v>
      </c>
      <c r="C5" s="7">
        <f t="shared" si="0"/>
        <v>0.6</v>
      </c>
      <c r="D5" s="7">
        <f t="shared" si="1"/>
        <v>0.29277002188455997</v>
      </c>
      <c r="E5" s="7">
        <f t="shared" si="2"/>
        <v>0.08</v>
      </c>
      <c r="F5" s="14">
        <f t="shared" si="3"/>
        <v>0.4</v>
      </c>
      <c r="G5" s="14">
        <f t="shared" si="4"/>
        <v>0.44444444444444442</v>
      </c>
      <c r="H5" s="16">
        <f t="shared" si="5"/>
        <v>-0.29277002188455997</v>
      </c>
      <c r="I5" s="16">
        <f t="shared" si="6"/>
        <v>-0.26171196129510715</v>
      </c>
      <c r="J5" s="19">
        <f t="shared" si="7"/>
        <v>0.06</v>
      </c>
      <c r="K5" s="18">
        <f t="shared" si="8"/>
        <v>0.7</v>
      </c>
    </row>
    <row r="6" spans="1:11" x14ac:dyDescent="0.25">
      <c r="A6" s="3">
        <v>10</v>
      </c>
      <c r="B6" s="3">
        <v>90</v>
      </c>
      <c r="C6" s="7">
        <f t="shared" si="0"/>
        <v>0.8</v>
      </c>
      <c r="D6" s="7">
        <f t="shared" si="1"/>
        <v>0.87831006565367986</v>
      </c>
      <c r="E6" s="7">
        <f t="shared" si="2"/>
        <v>0.1</v>
      </c>
      <c r="F6" s="14">
        <f t="shared" si="3"/>
        <v>0.6</v>
      </c>
      <c r="G6" s="14">
        <f t="shared" si="4"/>
        <v>0.66666666666666663</v>
      </c>
      <c r="H6" s="16">
        <f t="shared" si="5"/>
        <v>0.29277002188455997</v>
      </c>
      <c r="I6" s="16">
        <f t="shared" si="6"/>
        <v>0.36639674581314929</v>
      </c>
      <c r="J6" s="19">
        <f t="shared" si="7"/>
        <v>0.08</v>
      </c>
      <c r="K6" s="18">
        <f t="shared" si="8"/>
        <v>0.8</v>
      </c>
    </row>
    <row r="7" spans="1:11" x14ac:dyDescent="0.25">
      <c r="A7" s="3">
        <v>12</v>
      </c>
      <c r="B7" s="3">
        <v>95</v>
      </c>
      <c r="C7" s="7">
        <f t="shared" si="0"/>
        <v>1</v>
      </c>
      <c r="D7" s="7">
        <f t="shared" si="1"/>
        <v>1.4638501094227998</v>
      </c>
      <c r="E7" s="7">
        <f t="shared" si="2"/>
        <v>0.12</v>
      </c>
      <c r="F7" s="14">
        <f t="shared" si="3"/>
        <v>0.8</v>
      </c>
      <c r="G7" s="14">
        <f t="shared" si="4"/>
        <v>0.88888888888888884</v>
      </c>
      <c r="H7" s="16">
        <f t="shared" si="5"/>
        <v>0.87831006565367986</v>
      </c>
      <c r="I7" s="16">
        <f t="shared" si="6"/>
        <v>0.99450545292140569</v>
      </c>
      <c r="J7" s="19">
        <f t="shared" si="7"/>
        <v>0.1</v>
      </c>
      <c r="K7" s="18">
        <f t="shared" si="8"/>
        <v>0.9</v>
      </c>
    </row>
    <row r="8" spans="1:11" x14ac:dyDescent="0.25">
      <c r="C8" s="20" t="s">
        <v>10</v>
      </c>
      <c r="D8" s="20">
        <f>MIN(A2:A7)</f>
        <v>2</v>
      </c>
      <c r="F8" s="14">
        <f t="shared" si="3"/>
        <v>1</v>
      </c>
      <c r="G8" s="14">
        <f t="shared" si="4"/>
        <v>1</v>
      </c>
      <c r="H8" s="16">
        <f t="shared" si="5"/>
        <v>1.4638501094227998</v>
      </c>
      <c r="I8" s="16">
        <f t="shared" si="6"/>
        <v>1.3085598064755339</v>
      </c>
      <c r="J8" s="19">
        <f t="shared" si="7"/>
        <v>0.12</v>
      </c>
      <c r="K8" s="18">
        <f t="shared" si="8"/>
        <v>0.95</v>
      </c>
    </row>
    <row r="9" spans="1:11" x14ac:dyDescent="0.25">
      <c r="C9" s="20" t="s">
        <v>11</v>
      </c>
      <c r="D9" s="20">
        <f>MAX(A2:A7)</f>
        <v>12</v>
      </c>
    </row>
    <row r="10" spans="1:11" x14ac:dyDescent="0.25">
      <c r="C10" s="20" t="s">
        <v>12</v>
      </c>
      <c r="D10" s="20">
        <f>AVERAGE(A2:A7)</f>
        <v>7</v>
      </c>
    </row>
    <row r="11" spans="1:11" x14ac:dyDescent="0.25">
      <c r="C11" s="20" t="s">
        <v>13</v>
      </c>
      <c r="D11" s="20">
        <f>_xlfn.STDEV.P(A2:A7)</f>
        <v>3.415650255319866</v>
      </c>
    </row>
    <row r="14" spans="1:11" x14ac:dyDescent="0.25">
      <c r="C14" s="21" t="s">
        <v>10</v>
      </c>
      <c r="D14" s="21">
        <f>MIN(B2:B7)</f>
        <v>50</v>
      </c>
    </row>
    <row r="15" spans="1:11" x14ac:dyDescent="0.25">
      <c r="C15" s="21" t="s">
        <v>11</v>
      </c>
      <c r="D15" s="21">
        <f>MAX(B2:B7)</f>
        <v>95</v>
      </c>
    </row>
    <row r="16" spans="1:11" x14ac:dyDescent="0.25">
      <c r="C16" s="21" t="s">
        <v>12</v>
      </c>
      <c r="D16" s="21">
        <f>AVERAGE(B2:B7)</f>
        <v>74.166666666666671</v>
      </c>
    </row>
    <row r="17" spans="1:4" x14ac:dyDescent="0.25">
      <c r="C17" s="21" t="s">
        <v>13</v>
      </c>
      <c r="D17" s="21">
        <f>_xlfn.STDEV.P(B2:B7)</f>
        <v>15.920810978785667</v>
      </c>
    </row>
    <row r="21" spans="1:4" x14ac:dyDescent="0.25">
      <c r="A21" s="22"/>
      <c r="B21" s="13" t="s">
        <v>22</v>
      </c>
      <c r="C21" s="13"/>
    </row>
    <row r="22" spans="1:4" x14ac:dyDescent="0.25">
      <c r="A22" s="25"/>
      <c r="B22" s="23" t="s">
        <v>21</v>
      </c>
      <c r="C22" s="24"/>
    </row>
  </sheetData>
  <mergeCells count="5">
    <mergeCell ref="F1:G1"/>
    <mergeCell ref="H1:I1"/>
    <mergeCell ref="J1:K1"/>
    <mergeCell ref="B21:C21"/>
    <mergeCell ref="B22:C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Saiful Rijal</vt:lpstr>
      <vt:lpstr>Normalisasi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2026-03-15T06:48:50Z</dcterms:modified>
</cp:coreProperties>
</file>